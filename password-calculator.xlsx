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" sheetId="1" r:id="rId4"/>
  </sheets>
  <definedNames/>
  <calcPr/>
</workbook>
</file>

<file path=xl/sharedStrings.xml><?xml version="1.0" encoding="utf-8"?>
<sst xmlns="http://schemas.openxmlformats.org/spreadsheetml/2006/main" count="34" uniqueCount="32">
  <si>
    <t>PASSWORD CALCULATOR</t>
  </si>
  <si>
    <t>Assumes knows symbol set and uses a brute-force attack. Also assumes password is perfectly randomly generated from symbol set to length L.</t>
  </si>
  <si>
    <t>Symbol set</t>
  </si>
  <si>
    <t>SELECT ONE</t>
  </si>
  <si>
    <t>Symbol count N</t>
  </si>
  <si>
    <t>Password length L</t>
  </si>
  <si>
    <t>Entropy H</t>
  </si>
  <si>
    <t>Binary (0-1)</t>
  </si>
  <si>
    <t>Arabic numerals (0–9) (e.g. PIN)</t>
  </si>
  <si>
    <t>Hexadecimal numerals (0–9, A–F)</t>
  </si>
  <si>
    <t>Case insensitive Latin alphabet (a–z or A–Z)</t>
  </si>
  <si>
    <t>Case insensitive alphanumeric (a–z or A–Z, 0–9)</t>
  </si>
  <si>
    <t>x</t>
  </si>
  <si>
    <t>Case sensitive Latin alphabet (a–z, A–Z)</t>
  </si>
  <si>
    <t>Case sensitive alphanumeric (a–z, A–Z, 0–9)</t>
  </si>
  <si>
    <t>Emoticons (U+1F600 to U+1F64F)</t>
  </si>
  <si>
    <t>All ASCII printable characters except space</t>
  </si>
  <si>
    <t>All ASCII printable characters</t>
  </si>
  <si>
    <t>Bytes (0–255 or 8 bits)</t>
  </si>
  <si>
    <r>
      <rPr>
        <color rgb="FF1155CC"/>
        <u/>
      </rPr>
      <t>Diceware</t>
    </r>
    <r>
      <rPr/>
      <t xml:space="preserve"> EFF word list (5 rolls)</t>
    </r>
  </si>
  <si>
    <t>Unicode CJK Unified Ideographs block</t>
  </si>
  <si>
    <r>
      <rPr>
        <i/>
      </rPr>
      <t xml:space="preserve">If you would like your symbol set added, </t>
    </r>
    <r>
      <rPr>
        <i/>
        <color rgb="FF1155CC"/>
        <u/>
      </rPr>
      <t>contact me</t>
    </r>
  </si>
  <si>
    <t>Password information</t>
  </si>
  <si>
    <t>DEMONSTRATION PASSWORD DO NOT USE</t>
  </si>
  <si>
    <t>Attacker's device</t>
  </si>
  <si>
    <t>Raspberry Pi</t>
  </si>
  <si>
    <t>Average PC (GTX 590)</t>
  </si>
  <si>
    <t>GPU cluster (AMD 5870x6)</t>
  </si>
  <si>
    <t>Titan supercomputer</t>
  </si>
  <si>
    <t>Universe made of computronium</t>
  </si>
  <si>
    <t>Est. guesses per second (liberal)</t>
  </si>
  <si>
    <t>Est. crack time (years)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</si>
</sst>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i/>
      <u/>
      <color rgb="FF0000FF"/>
    </font>
    <font/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5">
    <border/>
    <border>
      <left style="double">
        <color rgb="FF000000"/>
      </left>
      <right style="thin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readingOrder="0"/>
    </xf>
    <xf borderId="5" fillId="2" fontId="2" numFmtId="0" xfId="0" applyAlignment="1" applyBorder="1" applyFill="1" applyFont="1">
      <alignment horizontal="center" readingOrder="0"/>
    </xf>
    <xf borderId="6" fillId="0" fontId="2" numFmtId="0" xfId="0" applyAlignment="1" applyBorder="1" applyFont="1">
      <alignment readingOrder="0"/>
    </xf>
    <xf borderId="0" fillId="0" fontId="2" numFmtId="0" xfId="0" applyFont="1"/>
    <xf borderId="7" fillId="0" fontId="2" numFmtId="0" xfId="0" applyBorder="1" applyFont="1"/>
    <xf borderId="8" fillId="2" fontId="2" numFmtId="0" xfId="0" applyAlignment="1" applyBorder="1" applyFont="1">
      <alignment horizontal="center" readingOrder="0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9" fillId="2" fontId="2" numFmtId="0" xfId="0" applyAlignment="1" applyBorder="1" applyFont="1">
      <alignment horizontal="center" readingOrder="0"/>
    </xf>
    <xf borderId="10" fillId="2" fontId="2" numFmtId="0" xfId="0" applyAlignment="1" applyBorder="1" applyFont="1">
      <alignment readingOrder="0"/>
    </xf>
    <xf borderId="11" fillId="2" fontId="2" numFmtId="0" xfId="0" applyAlignment="1" applyBorder="1" applyFont="1">
      <alignment readingOrder="0"/>
    </xf>
    <xf borderId="10" fillId="0" fontId="2" numFmtId="0" xfId="0" applyBorder="1" applyFont="1"/>
    <xf borderId="12" fillId="0" fontId="2" numFmtId="0" xfId="0" applyAlignment="1" applyBorder="1" applyFont="1">
      <alignment readingOrder="0"/>
    </xf>
    <xf borderId="3" fillId="0" fontId="5" numFmtId="0" xfId="0" applyBorder="1" applyFont="1"/>
    <xf borderId="3" fillId="0" fontId="2" numFmtId="0" xfId="0" applyAlignment="1" applyBorder="1" applyFont="1">
      <alignment horizontal="right"/>
    </xf>
    <xf borderId="4" fillId="0" fontId="5" numFmtId="0" xfId="0" applyBorder="1" applyFont="1"/>
    <xf borderId="13" fillId="0" fontId="2" numFmtId="3" xfId="0" applyAlignment="1" applyBorder="1" applyFont="1" applyNumberFormat="1">
      <alignment readingOrder="0" shrinkToFit="0" vertical="top" wrapText="1"/>
    </xf>
    <xf borderId="11" fillId="0" fontId="5" numFmtId="0" xfId="0" applyBorder="1" applyFont="1"/>
    <xf borderId="10" fillId="0" fontId="5" numFmtId="0" xfId="0" applyBorder="1" applyFont="1"/>
    <xf borderId="0" fillId="0" fontId="2" numFmtId="3" xfId="0" applyAlignment="1" applyFont="1" applyNumberFormat="1">
      <alignment readingOrder="0" shrinkToFit="0" vertical="top" wrapText="1"/>
    </xf>
    <xf borderId="12" fillId="0" fontId="2" numFmtId="3" xfId="0" applyAlignment="1" applyBorder="1" applyFont="1" applyNumberFormat="1">
      <alignment readingOrder="0"/>
    </xf>
    <xf borderId="3" fillId="0" fontId="2" numFmtId="3" xfId="0" applyAlignment="1" applyBorder="1" applyFont="1" applyNumberFormat="1">
      <alignment readingOrder="0"/>
    </xf>
    <xf borderId="3" fillId="0" fontId="6" numFmtId="3" xfId="0" applyAlignment="1" applyBorder="1" applyFont="1" applyNumberFormat="1">
      <alignment readingOrder="0"/>
    </xf>
    <xf borderId="3" fillId="0" fontId="7" numFmtId="0" xfId="0" applyAlignment="1" applyBorder="1" applyFont="1">
      <alignment readingOrder="0"/>
    </xf>
    <xf borderId="14" fillId="0" fontId="2" numFmtId="11" xfId="0" applyAlignment="1" applyBorder="1" applyFont="1" applyNumberFormat="1">
      <alignment readingOrder="0"/>
    </xf>
    <xf borderId="0" fillId="0" fontId="2" numFmtId="11" xfId="0" applyAlignment="1" applyFont="1" applyNumberFormat="1">
      <alignment readingOrder="0"/>
    </xf>
    <xf borderId="7" fillId="0" fontId="5" numFmtId="0" xfId="0" applyBorder="1" applyFont="1"/>
    <xf borderId="13" fillId="0" fontId="2" numFmtId="11" xfId="0" applyAlignment="1" applyBorder="1" applyFont="1" applyNumberFormat="1">
      <alignment readingOrder="0"/>
    </xf>
    <xf borderId="11" fillId="0" fontId="2" numFmtId="11" xfId="0" applyAlignment="1" applyBorder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Diceware" TargetMode="External"/><Relationship Id="rId2" Type="http://schemas.openxmlformats.org/officeDocument/2006/relationships/hyperlink" Target="mailto:24jonah.spector@boiseschools.net" TargetMode="External"/><Relationship Id="rId3" Type="http://schemas.openxmlformats.org/officeDocument/2006/relationships/hyperlink" Target="https://en.wikipedia.org/wiki/Summit_(supercomputer)" TargetMode="External"/><Relationship Id="rId4" Type="http://schemas.openxmlformats.org/officeDocument/2006/relationships/hyperlink" Target="https://en.wikipedia.org/wiki/Computroniu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20.0"/>
    <col customWidth="1" min="3" max="4" width="22.63"/>
    <col customWidth="1" min="5" max="5" width="19.38"/>
    <col customWidth="1" min="6" max="6" width="17.0"/>
    <col customWidth="1" min="7" max="7" width="12.88"/>
    <col customWidth="1" min="8" max="8" width="3.25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2" t="s">
        <v>1</v>
      </c>
      <c r="H2" s="2"/>
    </row>
    <row r="3">
      <c r="A3" s="1"/>
      <c r="B3" s="3"/>
      <c r="C3" s="1"/>
      <c r="D3" s="1"/>
      <c r="E3" s="1"/>
      <c r="F3" s="3"/>
      <c r="G3" s="1"/>
      <c r="H3" s="1"/>
    </row>
    <row r="4">
      <c r="A4" s="1" t="s">
        <v>2</v>
      </c>
      <c r="B4" s="4" t="s">
        <v>3</v>
      </c>
      <c r="C4" s="5" t="s">
        <v>4</v>
      </c>
      <c r="D4" s="1"/>
      <c r="E4" s="4" t="s">
        <v>3</v>
      </c>
      <c r="F4" s="6" t="s">
        <v>5</v>
      </c>
      <c r="G4" s="7" t="s">
        <v>6</v>
      </c>
      <c r="H4" s="3"/>
    </row>
    <row r="5">
      <c r="A5" s="3" t="s">
        <v>7</v>
      </c>
      <c r="B5" s="8"/>
      <c r="C5" s="9">
        <v>2.0</v>
      </c>
      <c r="D5" s="10"/>
      <c r="E5" s="8"/>
      <c r="F5" s="10">
        <v>4.0</v>
      </c>
      <c r="G5" s="11">
        <f>ROUND(LOG(VLOOKUP("X",B5:C18,2)^CELL("contents",INDIRECT(ADDRESS(ROW(),6,4))),2),0)</f>
        <v>52</v>
      </c>
      <c r="H5" s="10"/>
    </row>
    <row r="6">
      <c r="A6" s="3" t="s">
        <v>8</v>
      </c>
      <c r="B6" s="12"/>
      <c r="C6" s="11">
        <v>10.0</v>
      </c>
      <c r="E6" s="12"/>
      <c r="F6" s="10">
        <v>5.0</v>
      </c>
      <c r="G6" s="13">
        <f>ROUND(LOG(VLOOKUP("X",B5:C18,2)^CELL("contents",INDIRECT(ADDRESS(ROW(),6,4))),2),0)</f>
        <v>65</v>
      </c>
    </row>
    <row r="7">
      <c r="A7" s="3" t="s">
        <v>9</v>
      </c>
      <c r="B7" s="12"/>
      <c r="C7" s="11">
        <v>16.0</v>
      </c>
      <c r="E7" s="12"/>
      <c r="F7" s="10">
        <v>6.0</v>
      </c>
      <c r="G7" s="13">
        <f>ROUND(LOG(VLOOKUP("X",B5:C18,2)^CELL("contents",INDIRECT(ADDRESS(ROW(),6,4))),2),0)</f>
        <v>78</v>
      </c>
    </row>
    <row r="8">
      <c r="A8" s="3" t="s">
        <v>10</v>
      </c>
      <c r="B8" s="12"/>
      <c r="C8" s="11">
        <v>26.0</v>
      </c>
      <c r="E8" s="12"/>
      <c r="F8" s="10">
        <v>7.0</v>
      </c>
      <c r="G8" s="13">
        <f>ROUND(LOG(VLOOKUP("X",B5:C18,2)^CELL("contents",INDIRECT(ADDRESS(ROW(),6,4))),2),0)</f>
        <v>90</v>
      </c>
    </row>
    <row r="9">
      <c r="A9" s="3" t="s">
        <v>11</v>
      </c>
      <c r="B9" s="12"/>
      <c r="C9" s="11">
        <v>36.0</v>
      </c>
      <c r="E9" s="12" t="s">
        <v>12</v>
      </c>
      <c r="F9" s="10">
        <v>8.0</v>
      </c>
      <c r="G9" s="13">
        <f>ROUND(LOG(VLOOKUP("X",B5:C18,2)^CELL("contents",INDIRECT(ADDRESS(ROW(),6,4))),2),0)</f>
        <v>103</v>
      </c>
    </row>
    <row r="10">
      <c r="A10" s="3" t="s">
        <v>13</v>
      </c>
      <c r="B10" s="12"/>
      <c r="C10" s="11">
        <v>52.0</v>
      </c>
      <c r="E10" s="12"/>
      <c r="F10" s="10">
        <v>9.0</v>
      </c>
      <c r="G10" s="13">
        <f>ROUND(LOG(VLOOKUP("X",B5:C18,2)^CELL("contents",INDIRECT(ADDRESS(ROW(),6,4))),2),0)</f>
        <v>116</v>
      </c>
    </row>
    <row r="11">
      <c r="A11" s="3" t="s">
        <v>14</v>
      </c>
      <c r="B11" s="12"/>
      <c r="C11" s="11">
        <v>62.0</v>
      </c>
      <c r="E11" s="12"/>
      <c r="F11" s="10">
        <v>10.0</v>
      </c>
      <c r="G11" s="13">
        <f t="shared" ref="G11:G12" si="1">ROUND(LOG(VLOOKUP("X",B5:C18,2)^CELL("contents",INDIRECT(ADDRESS(ROW(),6,4))),2),0)</f>
        <v>129</v>
      </c>
    </row>
    <row r="12">
      <c r="A12" s="3" t="s">
        <v>15</v>
      </c>
      <c r="B12" s="12"/>
      <c r="C12" s="14">
        <v>80.0</v>
      </c>
      <c r="E12" s="12"/>
      <c r="F12" s="10">
        <v>11.0</v>
      </c>
      <c r="G12" s="13">
        <f t="shared" si="1"/>
        <v>142</v>
      </c>
    </row>
    <row r="13">
      <c r="A13" s="3" t="s">
        <v>16</v>
      </c>
      <c r="B13" s="12"/>
      <c r="C13" s="11">
        <v>94.0</v>
      </c>
      <c r="E13" s="12"/>
      <c r="F13" s="10">
        <v>12.0</v>
      </c>
      <c r="G13" s="13">
        <f>ROUND(LOG(VLOOKUP("X",B5:C18,2)^CELL("contents",INDIRECT(ADDRESS(ROW(),6,4))),2),0)</f>
        <v>155</v>
      </c>
    </row>
    <row r="14">
      <c r="A14" s="3" t="s">
        <v>17</v>
      </c>
      <c r="B14" s="12"/>
      <c r="C14" s="11">
        <v>95.0</v>
      </c>
      <c r="E14" s="12"/>
      <c r="F14" s="10">
        <v>13.0</v>
      </c>
      <c r="G14" s="13">
        <f>ROUND(LOG(VLOOKUP("X",B5:C18,2)^CELL("contents",INDIRECT(ADDRESS(ROW(),6,4))),2),0)</f>
        <v>168</v>
      </c>
    </row>
    <row r="15">
      <c r="A15" s="3" t="s">
        <v>18</v>
      </c>
      <c r="B15" s="12"/>
      <c r="C15" s="11">
        <v>256.0</v>
      </c>
      <c r="D15" s="10"/>
      <c r="E15" s="12"/>
      <c r="F15" s="10">
        <v>14.0</v>
      </c>
      <c r="G15" s="13">
        <f>ROUND(LOG(VLOOKUP("X",B5:C18,2)^CELL("contents",INDIRECT(ADDRESS(ROW(),6,4))),2),0)</f>
        <v>181</v>
      </c>
    </row>
    <row r="16">
      <c r="A16" s="15" t="s">
        <v>19</v>
      </c>
      <c r="B16" s="12" t="s">
        <v>12</v>
      </c>
      <c r="C16" s="11">
        <v>7776.0</v>
      </c>
      <c r="D16" s="10"/>
      <c r="E16" s="12"/>
      <c r="F16" s="10">
        <v>15.0</v>
      </c>
      <c r="G16" s="13">
        <f>ROUND(LOG(VLOOKUP("X",B5:C18,2)^CELL("contents",INDIRECT(ADDRESS(ROW(),6,4))),2),0)</f>
        <v>194</v>
      </c>
    </row>
    <row r="17">
      <c r="A17" s="3" t="s">
        <v>20</v>
      </c>
      <c r="B17" s="12"/>
      <c r="C17" s="14">
        <v>20941.0</v>
      </c>
      <c r="D17" s="10"/>
      <c r="E17" s="12"/>
      <c r="F17" s="3">
        <v>16.0</v>
      </c>
      <c r="G17" s="13">
        <f>ROUND(LOG(VLOOKUP("X",B5:C18,2)^CELL("contents",INDIRECT(ADDRESS(ROW(),6,4))),2),0)</f>
        <v>207</v>
      </c>
    </row>
    <row r="18">
      <c r="A18" s="16" t="s">
        <v>21</v>
      </c>
      <c r="B18" s="17"/>
      <c r="C18" s="18">
        <v>100000.0</v>
      </c>
      <c r="D18" s="10"/>
      <c r="E18" s="17"/>
      <c r="F18" s="19">
        <v>50.0</v>
      </c>
      <c r="G18" s="20">
        <f>ROUND(LOG(VLOOKUP("X",B5:C18,2)^CELL("contents",INDIRECT(ADDRESS(ROW(),6,4))),2),0)</f>
        <v>646</v>
      </c>
    </row>
    <row r="19">
      <c r="C19" s="3"/>
      <c r="D19" s="10"/>
      <c r="F19" s="3"/>
    </row>
    <row r="20">
      <c r="A20" s="1" t="s">
        <v>22</v>
      </c>
      <c r="B20" s="21" t="str">
        <f>"Number of possible combinations: "&amp;TEXT(ROUND(VLOOKUP("X",B5:C18,2)^VLOOKUP("X",E5:F18,2),0),"##0.0#E+##")</f>
        <v>Number of possible combinations: 13.37E+30</v>
      </c>
      <c r="C20" s="22"/>
      <c r="D20" s="22"/>
      <c r="E20" s="23" t="str">
        <f>"N = "&amp;VLOOKUP("X",B5:C18,2)&amp;", L = "&amp;VLOOKUP("X",E5:F18,2)&amp;", H = "&amp;VLOOKUP("X",E5:G18,3)</f>
        <v>N = 7776, L = 8, H = 103</v>
      </c>
      <c r="F20" s="22"/>
      <c r="G20" s="24"/>
      <c r="H20" s="10"/>
    </row>
    <row r="21">
      <c r="A21" s="2" t="s">
        <v>23</v>
      </c>
      <c r="B21" s="25" t="str">
        <f>password(VLOOKUP("X",E5:F18,2),VLOOKUP("X",B5:C18,2))</f>
        <v>#NAME?</v>
      </c>
      <c r="C21" s="26"/>
      <c r="D21" s="26"/>
      <c r="E21" s="26"/>
      <c r="F21" s="26"/>
      <c r="G21" s="27"/>
      <c r="H21" s="10"/>
    </row>
    <row r="22">
      <c r="A22" s="2"/>
      <c r="B22" s="28"/>
      <c r="C22" s="28"/>
      <c r="D22" s="28"/>
      <c r="E22" s="28"/>
      <c r="F22" s="28"/>
      <c r="G22" s="28"/>
      <c r="H22" s="10"/>
    </row>
    <row r="23">
      <c r="A23" s="1" t="s">
        <v>24</v>
      </c>
      <c r="B23" s="29" t="s">
        <v>25</v>
      </c>
      <c r="C23" s="30" t="s">
        <v>26</v>
      </c>
      <c r="D23" s="30" t="s">
        <v>27</v>
      </c>
      <c r="E23" s="31" t="s">
        <v>28</v>
      </c>
      <c r="F23" s="32" t="s">
        <v>29</v>
      </c>
      <c r="G23" s="24"/>
      <c r="H23" s="10"/>
    </row>
    <row r="24">
      <c r="A24" s="3" t="s">
        <v>30</v>
      </c>
      <c r="B24" s="33">
        <f>0.2*10^6</f>
        <v>200000</v>
      </c>
      <c r="C24" s="34">
        <f>193.1*10^6</f>
        <v>193100000</v>
      </c>
      <c r="D24" s="34">
        <f>2568*10^6</f>
        <v>2568000000</v>
      </c>
      <c r="E24" s="34">
        <f>25*18688*10^6</f>
        <v>467200000000</v>
      </c>
      <c r="F24" s="34">
        <f>10^60</f>
        <v>1E+60</v>
      </c>
      <c r="G24" s="35"/>
      <c r="H24" s="10"/>
    </row>
    <row r="25">
      <c r="A25" s="3" t="s">
        <v>31</v>
      </c>
      <c r="B25" s="36">
        <f>(ROUND(VLOOKUP("X",B5:C18,2)^VLOOKUP("X",E5:F18,2),0)/B24)/(60*60*24*365)/2</f>
        <v>1.0597E+18</v>
      </c>
      <c r="C25" s="37">
        <f>(ROUND(VLOOKUP("X",B5:C18,2)^VLOOKUP("X",E5:F18,2),0)/C24)/(60*60*24*365)/2</f>
        <v>1.09757E+15</v>
      </c>
      <c r="D25" s="37">
        <f>(ROUND(VLOOKUP("X",B5:C18,2)^VLOOKUP("X",E5:F18,2),0)/D24)/(60*60*24*365)/2</f>
        <v>82531244386846</v>
      </c>
      <c r="E25" s="37">
        <f>(ROUND(VLOOKUP("X",B5:C18,2)^VLOOKUP("X",E5:F18,2),0)/E24)/(60*60*24*365)/2</f>
        <v>453639202880</v>
      </c>
      <c r="F25" s="37">
        <f>(ROUND(VLOOKUP("X",B5:C18,2)^VLOOKUP("X",E5:F18,2),0)/F24)/(60*60*24*365)/2</f>
        <v>0</v>
      </c>
      <c r="G25" s="27"/>
      <c r="H25" s="10"/>
    </row>
    <row r="26">
      <c r="A26" s="1"/>
      <c r="B26" s="38"/>
      <c r="C26" s="38"/>
      <c r="D26" s="38"/>
      <c r="E26" s="38"/>
      <c r="F26" s="38"/>
      <c r="G26" s="10"/>
      <c r="H26" s="10"/>
    </row>
  </sheetData>
  <mergeCells count="7">
    <mergeCell ref="A2:G2"/>
    <mergeCell ref="B20:D20"/>
    <mergeCell ref="E20:G20"/>
    <mergeCell ref="B21:G21"/>
    <mergeCell ref="F23:G23"/>
    <mergeCell ref="F24:G24"/>
    <mergeCell ref="F25:G25"/>
  </mergeCells>
  <conditionalFormatting sqref="G5:H18">
    <cfRule type="cellIs" dxfId="0" priority="1" operator="greaterThanOrEqual">
      <formula>256</formula>
    </cfRule>
  </conditionalFormatting>
  <conditionalFormatting sqref="G5:H18">
    <cfRule type="cellIs" dxfId="1" priority="2" operator="greaterThanOrEqual">
      <formula>100</formula>
    </cfRule>
  </conditionalFormatting>
  <conditionalFormatting sqref="G5:H18">
    <cfRule type="cellIs" dxfId="2" priority="3" operator="greaterThanOrEqual">
      <formula>80</formula>
    </cfRule>
  </conditionalFormatting>
  <conditionalFormatting sqref="G5:H18">
    <cfRule type="cellIs" dxfId="3" priority="4" operator="lessThanOrEqual">
      <formula>40</formula>
    </cfRule>
  </conditionalFormatting>
  <conditionalFormatting sqref="G5:H18">
    <cfRule type="cellIs" dxfId="4" priority="5" operator="lessThanOrEqual">
      <formula>60</formula>
    </cfRule>
  </conditionalFormatting>
  <hyperlinks>
    <hyperlink r:id="rId1" ref="A16"/>
    <hyperlink r:id="rId2" ref="A18"/>
    <hyperlink r:id="rId3" ref="E23"/>
    <hyperlink r:id="rId4" ref="F23"/>
  </hyperlinks>
  <drawing r:id="rId5"/>
</worksheet>
</file>